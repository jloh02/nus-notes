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athan\Documents\NUS\HSI1000\"/>
    </mc:Choice>
  </mc:AlternateContent>
  <xr:revisionPtr revIDLastSave="0" documentId="13_ncr:1_{9DB54D66-7B3E-4B01-B7FF-649716E016BC}" xr6:coauthVersionLast="47" xr6:coauthVersionMax="47" xr10:uidLastSave="{00000000-0000-0000-0000-000000000000}"/>
  <bookViews>
    <workbookView xWindow="-110" yWindow="-110" windowWidth="25820" windowHeight="15500" xr2:uid="{3B9C7A71-1414-2D49-B047-E06FBD898486}"/>
  </bookViews>
  <sheets>
    <sheet name="single layer model" sheetId="1" r:id="rId1"/>
    <sheet name="parameters" sheetId="2" r:id="rId2"/>
  </sheets>
  <definedNames>
    <definedName name="change_Fadn">'single layer model'!$D$18</definedName>
    <definedName name="change_Faup">'single layer model'!$D$17</definedName>
    <definedName name="change_Fg">'single layer model'!$D$15</definedName>
    <definedName name="change_Fgtg">'single layer model'!$D$16</definedName>
    <definedName name="change_Fs">'single layer model'!$D$13</definedName>
    <definedName name="change_Fsts">'single layer model'!$D$14</definedName>
    <definedName name="change_Tg">'single layer model'!$D$19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3" i="1" l="1"/>
  <c r="D13" i="1" s="1"/>
  <c r="C14" i="1" l="1"/>
  <c r="D14" i="1" s="1"/>
  <c r="C15" i="1"/>
  <c r="D15" i="1" l="1"/>
  <c r="C17" i="1"/>
  <c r="D17" i="1" s="1"/>
  <c r="C16" i="1"/>
  <c r="D16" i="1" s="1"/>
  <c r="C18" i="1"/>
  <c r="D18" i="1" s="1"/>
  <c r="C19" i="1"/>
  <c r="A13" i="2" s="1"/>
  <c r="D19" i="1" l="1"/>
</calcChain>
</file>

<file path=xl/sharedStrings.xml><?xml version="1.0" encoding="utf-8"?>
<sst xmlns="http://schemas.openxmlformats.org/spreadsheetml/2006/main" count="32" uniqueCount="32">
  <si>
    <t>S</t>
  </si>
  <si>
    <t>F_s</t>
  </si>
  <si>
    <t>A</t>
  </si>
  <si>
    <t>F_g</t>
  </si>
  <si>
    <t>F_a</t>
  </si>
  <si>
    <t>T_g</t>
  </si>
  <si>
    <t>sigma</t>
  </si>
  <si>
    <t>value</t>
  </si>
  <si>
    <t>parameter</t>
  </si>
  <si>
    <t>model</t>
  </si>
  <si>
    <t>F_s x t_s</t>
  </si>
  <si>
    <t>F_g x t_g</t>
  </si>
  <si>
    <t>% change</t>
  </si>
  <si>
    <r>
      <t>τ</t>
    </r>
    <r>
      <rPr>
        <vertAlign val="subscript"/>
        <sz val="16"/>
        <color theme="1"/>
        <rFont val="Calibri (Body)"/>
      </rPr>
      <t>s</t>
    </r>
  </si>
  <si>
    <r>
      <t>τ</t>
    </r>
    <r>
      <rPr>
        <vertAlign val="subscript"/>
        <sz val="16"/>
        <color theme="1"/>
        <rFont val="Calibri (Body)"/>
      </rPr>
      <t>g</t>
    </r>
  </si>
  <si>
    <r>
      <t>F</t>
    </r>
    <r>
      <rPr>
        <vertAlign val="subscript"/>
        <sz val="16"/>
        <color theme="1"/>
        <rFont val="Calibri (Body)"/>
      </rPr>
      <t>s</t>
    </r>
  </si>
  <si>
    <r>
      <t>F</t>
    </r>
    <r>
      <rPr>
        <vertAlign val="subscript"/>
        <sz val="16"/>
        <color theme="1"/>
        <rFont val="Calibri (Body)"/>
      </rPr>
      <t>s</t>
    </r>
    <r>
      <rPr>
        <sz val="16"/>
        <color theme="1"/>
        <rFont val="Calibri"/>
        <family val="2"/>
        <scheme val="minor"/>
      </rPr>
      <t xml:space="preserve"> × τ</t>
    </r>
    <r>
      <rPr>
        <vertAlign val="subscript"/>
        <sz val="16"/>
        <color theme="1"/>
        <rFont val="Calibri (Body)"/>
      </rPr>
      <t>s</t>
    </r>
  </si>
  <si>
    <r>
      <t>F</t>
    </r>
    <r>
      <rPr>
        <vertAlign val="subscript"/>
        <sz val="16"/>
        <color theme="1"/>
        <rFont val="Calibri (Body)"/>
      </rPr>
      <t>g</t>
    </r>
  </si>
  <si>
    <r>
      <t>F</t>
    </r>
    <r>
      <rPr>
        <vertAlign val="subscript"/>
        <sz val="16"/>
        <color theme="1"/>
        <rFont val="Calibri (Body)"/>
      </rPr>
      <t>g</t>
    </r>
    <r>
      <rPr>
        <sz val="16"/>
        <color theme="1"/>
        <rFont val="Calibri"/>
        <family val="2"/>
        <scheme val="minor"/>
      </rPr>
      <t xml:space="preserve"> × τ</t>
    </r>
    <r>
      <rPr>
        <vertAlign val="subscript"/>
        <sz val="16"/>
        <color theme="1"/>
        <rFont val="Calibri (Body)"/>
      </rPr>
      <t>g</t>
    </r>
  </si>
  <si>
    <r>
      <t>F</t>
    </r>
    <r>
      <rPr>
        <vertAlign val="subscript"/>
        <sz val="16"/>
        <color theme="1"/>
        <rFont val="Calibri (Body)"/>
      </rPr>
      <t>a</t>
    </r>
    <r>
      <rPr>
        <sz val="16"/>
        <color theme="1"/>
        <rFont val="Calibri"/>
        <family val="2"/>
        <scheme val="minor"/>
      </rPr>
      <t xml:space="preserve"> (up)</t>
    </r>
  </si>
  <si>
    <r>
      <t>F</t>
    </r>
    <r>
      <rPr>
        <vertAlign val="subscript"/>
        <sz val="16"/>
        <color theme="1"/>
        <rFont val="Calibri (Body)"/>
      </rPr>
      <t>a</t>
    </r>
    <r>
      <rPr>
        <sz val="16"/>
        <color theme="1"/>
        <rFont val="Calibri"/>
        <family val="2"/>
        <scheme val="minor"/>
      </rPr>
      <t xml:space="preserve"> (down)</t>
    </r>
  </si>
  <si>
    <r>
      <t>T</t>
    </r>
    <r>
      <rPr>
        <vertAlign val="subscript"/>
        <sz val="16"/>
        <color theme="1"/>
        <rFont val="Calibri (Body)"/>
      </rPr>
      <t>g</t>
    </r>
  </si>
  <si>
    <t>description</t>
  </si>
  <si>
    <t>solar transmittence</t>
  </si>
  <si>
    <t xml:space="preserve">terrestial transmittence </t>
  </si>
  <si>
    <t>flow leaving Earth's surface</t>
  </si>
  <si>
    <t>terrestial radiation (atm to space)</t>
  </si>
  <si>
    <t>solar radiation (atm to Earth absorbed)</t>
  </si>
  <si>
    <t>global avg solar flow (energy per area per time)</t>
  </si>
  <si>
    <t>albedo ("reflectivity")</t>
  </si>
  <si>
    <t>Temperature (K)</t>
  </si>
  <si>
    <t>total emission from atm (up = down)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</si>
</sst>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"/>
  </numFmts>
  <fonts count="6"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vertAlign val="subscript"/>
      <sz val="16"/>
      <color theme="1"/>
      <name val="Calibri (Body)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11" fontId="0" fillId="0" borderId="0" xfId="0" applyNumberFormat="1"/>
    <xf numFmtId="0" fontId="1" fillId="2" borderId="0" xfId="0" applyFont="1" applyFill="1"/>
    <xf numFmtId="49" fontId="1" fillId="0" borderId="1" xfId="0" applyNumberFormat="1" applyFont="1" applyBorder="1" applyAlignment="1">
      <alignment horizontal="centerContinuous"/>
    </xf>
    <xf numFmtId="0" fontId="1" fillId="0" borderId="2" xfId="0" applyFont="1" applyBorder="1"/>
    <xf numFmtId="49" fontId="3" fillId="0" borderId="1" xfId="0" applyNumberFormat="1" applyFont="1" applyBorder="1" applyAlignment="1">
      <alignment horizontal="centerContinuous"/>
    </xf>
    <xf numFmtId="0" fontId="3" fillId="0" borderId="2" xfId="0" applyFont="1" applyBorder="1"/>
    <xf numFmtId="0" fontId="3" fillId="0" borderId="2" xfId="0" applyFont="1" applyBorder="1" applyAlignment="1">
      <alignment horizontal="center"/>
    </xf>
    <xf numFmtId="164" fontId="1" fillId="2" borderId="0" xfId="1" applyNumberFormat="1" applyFont="1" applyFill="1" applyBorder="1"/>
    <xf numFmtId="165" fontId="1" fillId="2" borderId="0" xfId="0" applyNumberFormat="1" applyFont="1" applyFill="1"/>
    <xf numFmtId="0" fontId="4" fillId="0" borderId="0" xfId="0" applyFont="1"/>
  </cellXfs>
  <cellStyles count="2">
    <cellStyle name="Normal" xfId="0" builtinId="0"/>
    <cellStyle name="Percent" xfId="1" builtinId="5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164" formatCode="0.0%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165" formatCode="0.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border outline="0">
        <top style="thin">
          <color theme="1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border outline="0">
        <bottom style="thin">
          <color indexed="64"/>
        </bottom>
      </border>
    </dxf>
  </dxfs>
  <tableStyles count="0" defaultTableStyle="TableStyleMedium2" defaultPivotStyle="PivotStyleLight16"/>
  <colors>
    <mruColors>
      <color rgb="FFF9696A"/>
      <color rgb="FF5A8A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38100</xdr:rowOff>
    </xdr:from>
    <xdr:to>
      <xdr:col>15</xdr:col>
      <xdr:colOff>668800</xdr:colOff>
      <xdr:row>26</xdr:row>
      <xdr:rowOff>154900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6F72D6A9-FB31-8B43-8DAF-BE359F12C436}"/>
            </a:ext>
          </a:extLst>
        </xdr:cNvPr>
        <xdr:cNvSpPr/>
      </xdr:nvSpPr>
      <xdr:spPr>
        <a:xfrm>
          <a:off x="4051300" y="647700"/>
          <a:ext cx="9000000" cy="54000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264420</xdr:colOff>
      <xdr:row>5</xdr:row>
      <xdr:rowOff>114300</xdr:rowOff>
    </xdr:from>
    <xdr:to>
      <xdr:col>7</xdr:col>
      <xdr:colOff>624420</xdr:colOff>
      <xdr:row>8</xdr:row>
      <xdr:rowOff>97700</xdr:rowOff>
    </xdr:to>
    <xdr:sp macro="" textlink="">
      <xdr:nvSpPr>
        <xdr:cNvPr id="3" name="arrow_Fs">
          <a:extLst>
            <a:ext uri="{FF2B5EF4-FFF2-40B4-BE49-F238E27FC236}">
              <a16:creationId xmlns:a16="http://schemas.microsoft.com/office/drawing/2014/main" id="{2DE25B79-D0B7-C245-B6B4-3870ABC0BF17}"/>
            </a:ext>
          </a:extLst>
        </xdr:cNvPr>
        <xdr:cNvSpPr>
          <a:spLocks/>
        </xdr:cNvSpPr>
      </xdr:nvSpPr>
      <xdr:spPr>
        <a:xfrm flipV="1">
          <a:off x="5954020" y="1130300"/>
          <a:ext cx="360000" cy="720000"/>
        </a:xfrm>
        <a:prstGeom prst="upArrow">
          <a:avLst/>
        </a:prstGeom>
        <a:solidFill>
          <a:srgbClr val="FFFFFF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112020</xdr:colOff>
      <xdr:row>5</xdr:row>
      <xdr:rowOff>114300</xdr:rowOff>
    </xdr:from>
    <xdr:to>
      <xdr:col>10</xdr:col>
      <xdr:colOff>472020</xdr:colOff>
      <xdr:row>8</xdr:row>
      <xdr:rowOff>97700</xdr:rowOff>
    </xdr:to>
    <xdr:sp macro="" textlink="">
      <xdr:nvSpPr>
        <xdr:cNvPr id="5" name="arrow_Faup">
          <a:extLst>
            <a:ext uri="{FF2B5EF4-FFF2-40B4-BE49-F238E27FC236}">
              <a16:creationId xmlns:a16="http://schemas.microsoft.com/office/drawing/2014/main" id="{F54F355B-B4A5-8447-BA49-D4ACE6E5E4B7}"/>
            </a:ext>
          </a:extLst>
        </xdr:cNvPr>
        <xdr:cNvSpPr>
          <a:spLocks/>
        </xdr:cNvSpPr>
      </xdr:nvSpPr>
      <xdr:spPr>
        <a:xfrm>
          <a:off x="8278120" y="1130300"/>
          <a:ext cx="360000" cy="720000"/>
        </a:xfrm>
        <a:prstGeom prst="upArrow">
          <a:avLst/>
        </a:prstGeom>
        <a:solidFill>
          <a:srgbClr val="FFFFFF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747020</xdr:colOff>
      <xdr:row>5</xdr:row>
      <xdr:rowOff>114300</xdr:rowOff>
    </xdr:from>
    <xdr:to>
      <xdr:col>13</xdr:col>
      <xdr:colOff>281520</xdr:colOff>
      <xdr:row>8</xdr:row>
      <xdr:rowOff>97700</xdr:rowOff>
    </xdr:to>
    <xdr:sp macro="" textlink="">
      <xdr:nvSpPr>
        <xdr:cNvPr id="6" name="arrow_Fgtg">
          <a:extLst>
            <a:ext uri="{FF2B5EF4-FFF2-40B4-BE49-F238E27FC236}">
              <a16:creationId xmlns:a16="http://schemas.microsoft.com/office/drawing/2014/main" id="{9D64B61F-4CF1-8146-8C2F-6B8849098867}"/>
            </a:ext>
          </a:extLst>
        </xdr:cNvPr>
        <xdr:cNvSpPr>
          <a:spLocks/>
        </xdr:cNvSpPr>
      </xdr:nvSpPr>
      <xdr:spPr>
        <a:xfrm>
          <a:off x="10564120" y="1130300"/>
          <a:ext cx="360000" cy="720000"/>
        </a:xfrm>
        <a:prstGeom prst="upArrow">
          <a:avLst/>
        </a:prstGeom>
        <a:solidFill>
          <a:srgbClr val="FFFFFF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550300</xdr:colOff>
      <xdr:row>9</xdr:row>
      <xdr:rowOff>169500</xdr:rowOff>
    </xdr:from>
    <xdr:to>
      <xdr:col>15</xdr:col>
      <xdr:colOff>42300</xdr:colOff>
      <xdr:row>13</xdr:row>
      <xdr:rowOff>182200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AD5D843B-82B4-4C44-8557-FB0C9AE22C9D}"/>
            </a:ext>
          </a:extLst>
        </xdr:cNvPr>
        <xdr:cNvSpPr/>
      </xdr:nvSpPr>
      <xdr:spPr>
        <a:xfrm>
          <a:off x="4677800" y="2201500"/>
          <a:ext cx="7747000" cy="825500"/>
        </a:xfrm>
        <a:prstGeom prst="rect">
          <a:avLst/>
        </a:prstGeom>
        <a:pattFill prst="pct5">
          <a:fgClr>
            <a:schemeClr val="accent1"/>
          </a:fgClr>
          <a:bgClr>
            <a:schemeClr val="accent1">
              <a:lumMod val="40000"/>
              <a:lumOff val="60000"/>
            </a:schemeClr>
          </a:bgClr>
        </a:patt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550300</xdr:colOff>
      <xdr:row>19</xdr:row>
      <xdr:rowOff>76200</xdr:rowOff>
    </xdr:from>
    <xdr:to>
      <xdr:col>15</xdr:col>
      <xdr:colOff>42300</xdr:colOff>
      <xdr:row>23</xdr:row>
      <xdr:rowOff>88900</xdr:rowOff>
    </xdr:to>
    <xdr:sp macro="" textlink="parameters!$A$13">
      <xdr:nvSpPr>
        <xdr:cNvPr id="8" name="ground">
          <a:extLst>
            <a:ext uri="{FF2B5EF4-FFF2-40B4-BE49-F238E27FC236}">
              <a16:creationId xmlns:a16="http://schemas.microsoft.com/office/drawing/2014/main" id="{148C829B-F574-3944-AB32-6FB3186423A9}"/>
            </a:ext>
          </a:extLst>
        </xdr:cNvPr>
        <xdr:cNvSpPr/>
      </xdr:nvSpPr>
      <xdr:spPr>
        <a:xfrm>
          <a:off x="4677800" y="4546600"/>
          <a:ext cx="7747000" cy="825500"/>
        </a:xfrm>
        <a:prstGeom prst="rect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88AC6E5-E8D1-B240-91D6-4C5A8CEC4775}" type="TxLink">
            <a:rPr lang="en-US" sz="3200" b="0" i="0" u="none" strike="noStrike">
              <a:solidFill>
                <a:srgbClr val="FFFFFF"/>
              </a:solidFill>
              <a:latin typeface="Calibri"/>
              <a:cs typeface="Calibri"/>
            </a:rPr>
            <a:pPr algn="ctr"/>
            <a:t> T = 288.4 K a decrease of 0.0 K</a:t>
          </a:fld>
          <a:endParaRPr lang="en-US" sz="3200">
            <a:solidFill>
              <a:srgbClr val="FFFFFF"/>
            </a:solidFill>
          </a:endParaRPr>
        </a:p>
      </xdr:txBody>
    </xdr:sp>
    <xdr:clientData/>
  </xdr:twoCellAnchor>
  <xdr:twoCellAnchor>
    <xdr:from>
      <xdr:col>7</xdr:col>
      <xdr:colOff>264420</xdr:colOff>
      <xdr:row>15</xdr:row>
      <xdr:rowOff>171483</xdr:rowOff>
    </xdr:from>
    <xdr:to>
      <xdr:col>7</xdr:col>
      <xdr:colOff>624420</xdr:colOff>
      <xdr:row>17</xdr:row>
      <xdr:rowOff>256483</xdr:rowOff>
    </xdr:to>
    <xdr:sp macro="" textlink="">
      <xdr:nvSpPr>
        <xdr:cNvPr id="10" name="arrow_Fsts">
          <a:extLst>
            <a:ext uri="{FF2B5EF4-FFF2-40B4-BE49-F238E27FC236}">
              <a16:creationId xmlns:a16="http://schemas.microsoft.com/office/drawing/2014/main" id="{C9857483-37A8-5743-AB3C-75E80BF1DA48}"/>
            </a:ext>
          </a:extLst>
        </xdr:cNvPr>
        <xdr:cNvSpPr>
          <a:spLocks/>
        </xdr:cNvSpPr>
      </xdr:nvSpPr>
      <xdr:spPr>
        <a:xfrm flipV="1">
          <a:off x="5954020" y="4044983"/>
          <a:ext cx="360000" cy="720000"/>
        </a:xfrm>
        <a:prstGeom prst="upArrow">
          <a:avLst/>
        </a:prstGeom>
        <a:solidFill>
          <a:srgbClr val="FFFFFF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112020</xdr:colOff>
      <xdr:row>15</xdr:row>
      <xdr:rowOff>171483</xdr:rowOff>
    </xdr:from>
    <xdr:to>
      <xdr:col>10</xdr:col>
      <xdr:colOff>472020</xdr:colOff>
      <xdr:row>17</xdr:row>
      <xdr:rowOff>256483</xdr:rowOff>
    </xdr:to>
    <xdr:sp macro="" textlink="">
      <xdr:nvSpPr>
        <xdr:cNvPr id="11" name="arrow_Fadn">
          <a:extLst>
            <a:ext uri="{FF2B5EF4-FFF2-40B4-BE49-F238E27FC236}">
              <a16:creationId xmlns:a16="http://schemas.microsoft.com/office/drawing/2014/main" id="{6A3CD894-59C2-9141-B4DC-2465D418053A}"/>
            </a:ext>
          </a:extLst>
        </xdr:cNvPr>
        <xdr:cNvSpPr>
          <a:spLocks/>
        </xdr:cNvSpPr>
      </xdr:nvSpPr>
      <xdr:spPr>
        <a:xfrm flipV="1">
          <a:off x="8278120" y="4044983"/>
          <a:ext cx="360000" cy="720000"/>
        </a:xfrm>
        <a:prstGeom prst="upArrow">
          <a:avLst/>
        </a:prstGeom>
        <a:solidFill>
          <a:srgbClr val="FFFFFF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747020</xdr:colOff>
      <xdr:row>15</xdr:row>
      <xdr:rowOff>171483</xdr:rowOff>
    </xdr:from>
    <xdr:to>
      <xdr:col>13</xdr:col>
      <xdr:colOff>281520</xdr:colOff>
      <xdr:row>17</xdr:row>
      <xdr:rowOff>256483</xdr:rowOff>
    </xdr:to>
    <xdr:sp macro="" textlink="">
      <xdr:nvSpPr>
        <xdr:cNvPr id="12" name="arrow_Fg">
          <a:extLst>
            <a:ext uri="{FF2B5EF4-FFF2-40B4-BE49-F238E27FC236}">
              <a16:creationId xmlns:a16="http://schemas.microsoft.com/office/drawing/2014/main" id="{76892DFA-77C3-CD4F-9B19-ADA1C5F23DDE}"/>
            </a:ext>
          </a:extLst>
        </xdr:cNvPr>
        <xdr:cNvSpPr>
          <a:spLocks/>
        </xdr:cNvSpPr>
      </xdr:nvSpPr>
      <xdr:spPr>
        <a:xfrm>
          <a:off x="10564120" y="4044983"/>
          <a:ext cx="360000" cy="720000"/>
        </a:xfrm>
        <a:prstGeom prst="upArrow">
          <a:avLst/>
        </a:prstGeom>
        <a:solidFill>
          <a:srgbClr val="FFFFFF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7</xdr:col>
      <xdr:colOff>179881</xdr:colOff>
      <xdr:row>3</xdr:row>
      <xdr:rowOff>107366</xdr:rowOff>
    </xdr:from>
    <xdr:ext cx="529077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D86D5AD-E239-5F41-80B9-72B7968D6AAE}"/>
            </a:ext>
          </a:extLst>
        </xdr:cNvPr>
        <xdr:cNvSpPr txBox="1"/>
      </xdr:nvSpPr>
      <xdr:spPr>
        <a:xfrm>
          <a:off x="5869481" y="716966"/>
          <a:ext cx="529077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90000" rtlCol="0" anchor="ctr">
          <a:spAutoFit/>
        </a:bodyPr>
        <a:lstStyle/>
        <a:p>
          <a:pPr algn="ctr"/>
          <a:r>
            <a:rPr lang="en-US" sz="2000"/>
            <a:t>F_s</a:t>
          </a:r>
          <a:endParaRPr lang="en-US" sz="1100"/>
        </a:p>
      </xdr:txBody>
    </xdr:sp>
    <xdr:clientData/>
  </xdr:oneCellAnchor>
  <xdr:oneCellAnchor>
    <xdr:from>
      <xdr:col>10</xdr:col>
      <xdr:colOff>16197</xdr:colOff>
      <xdr:row>3</xdr:row>
      <xdr:rowOff>107366</xdr:rowOff>
    </xdr:from>
    <xdr:ext cx="551647" cy="405432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17C6488C-3166-B047-B8F1-3F5DF3B188D2}"/>
            </a:ext>
          </a:extLst>
        </xdr:cNvPr>
        <xdr:cNvSpPr txBox="1"/>
      </xdr:nvSpPr>
      <xdr:spPr>
        <a:xfrm>
          <a:off x="8182297" y="716966"/>
          <a:ext cx="551647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90000" rtlCol="0" anchor="ctr">
          <a:spAutoFit/>
        </a:bodyPr>
        <a:lstStyle/>
        <a:p>
          <a:pPr algn="ctr"/>
          <a:r>
            <a:rPr lang="en-US" sz="2000"/>
            <a:t>F_a</a:t>
          </a:r>
          <a:endParaRPr lang="en-US" sz="1100"/>
        </a:p>
      </xdr:txBody>
    </xdr:sp>
    <xdr:clientData/>
  </xdr:oneCellAnchor>
  <xdr:oneCellAnchor>
    <xdr:from>
      <xdr:col>12</xdr:col>
      <xdr:colOff>356533</xdr:colOff>
      <xdr:row>3</xdr:row>
      <xdr:rowOff>107366</xdr:rowOff>
    </xdr:from>
    <xdr:ext cx="1140975" cy="405432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CC29A5D5-F230-2B41-99BC-B2A97EB4E01C}"/>
            </a:ext>
          </a:extLst>
        </xdr:cNvPr>
        <xdr:cNvSpPr txBox="1"/>
      </xdr:nvSpPr>
      <xdr:spPr>
        <a:xfrm>
          <a:off x="10173633" y="716966"/>
          <a:ext cx="1140975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90000" rtlCol="0" anchor="ctr">
          <a:spAutoFit/>
        </a:bodyPr>
        <a:lstStyle/>
        <a:p>
          <a:pPr algn="ctr"/>
          <a:r>
            <a:rPr lang="en-US" sz="2000"/>
            <a:t>F_g </a:t>
          </a:r>
          <a:r>
            <a:rPr lang="el-GR" sz="2000"/>
            <a:t>× τ_</a:t>
          </a:r>
          <a:r>
            <a:rPr lang="en-US" sz="2000"/>
            <a:t>g</a:t>
          </a:r>
          <a:endParaRPr lang="en-US" sz="1100"/>
        </a:p>
      </xdr:txBody>
    </xdr:sp>
    <xdr:clientData/>
  </xdr:oneCellAnchor>
  <xdr:oneCellAnchor>
    <xdr:from>
      <xdr:col>6</xdr:col>
      <xdr:colOff>699433</xdr:colOff>
      <xdr:row>14</xdr:row>
      <xdr:rowOff>31166</xdr:rowOff>
    </xdr:from>
    <xdr:ext cx="1140975" cy="405432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6FFAC59E-C22C-5043-94A9-F61BE4A00FEF}"/>
            </a:ext>
          </a:extLst>
        </xdr:cNvPr>
        <xdr:cNvSpPr txBox="1"/>
      </xdr:nvSpPr>
      <xdr:spPr>
        <a:xfrm>
          <a:off x="5563533" y="3383966"/>
          <a:ext cx="1140975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90000" rtlCol="0" anchor="ctr">
          <a:spAutoFit/>
        </a:bodyPr>
        <a:lstStyle/>
        <a:p>
          <a:pPr algn="ctr"/>
          <a:r>
            <a:rPr lang="en-US" sz="2000"/>
            <a:t>F_s </a:t>
          </a:r>
          <a:r>
            <a:rPr lang="el-GR" sz="2000"/>
            <a:t>× τ_</a:t>
          </a:r>
          <a:r>
            <a:rPr lang="en-US" sz="2000"/>
            <a:t>s</a:t>
          </a:r>
          <a:endParaRPr lang="en-US" sz="1100"/>
        </a:p>
      </xdr:txBody>
    </xdr:sp>
    <xdr:clientData/>
  </xdr:oneCellAnchor>
  <xdr:oneCellAnchor>
    <xdr:from>
      <xdr:col>10</xdr:col>
      <xdr:colOff>16197</xdr:colOff>
      <xdr:row>14</xdr:row>
      <xdr:rowOff>31166</xdr:rowOff>
    </xdr:from>
    <xdr:ext cx="551647" cy="405432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AA3C3D8B-41B4-0E46-A340-0ABC6B786A89}"/>
            </a:ext>
          </a:extLst>
        </xdr:cNvPr>
        <xdr:cNvSpPr txBox="1"/>
      </xdr:nvSpPr>
      <xdr:spPr>
        <a:xfrm>
          <a:off x="8182297" y="3383966"/>
          <a:ext cx="551647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90000" rtlCol="0" anchor="ctr">
          <a:spAutoFit/>
        </a:bodyPr>
        <a:lstStyle/>
        <a:p>
          <a:pPr algn="ctr"/>
          <a:r>
            <a:rPr lang="en-US" sz="2000"/>
            <a:t>F_a</a:t>
          </a:r>
          <a:endParaRPr lang="en-US" sz="1100"/>
        </a:p>
      </xdr:txBody>
    </xdr:sp>
    <xdr:clientData/>
  </xdr:oneCellAnchor>
  <xdr:oneCellAnchor>
    <xdr:from>
      <xdr:col>12</xdr:col>
      <xdr:colOff>652255</xdr:colOff>
      <xdr:row>14</xdr:row>
      <xdr:rowOff>31166</xdr:rowOff>
    </xdr:from>
    <xdr:ext cx="549531" cy="405432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D186EB1F-358C-394B-9E0D-5106221832C5}"/>
            </a:ext>
          </a:extLst>
        </xdr:cNvPr>
        <xdr:cNvSpPr txBox="1"/>
      </xdr:nvSpPr>
      <xdr:spPr>
        <a:xfrm>
          <a:off x="10469355" y="3383966"/>
          <a:ext cx="549531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90000" rtlCol="0" anchor="ctr">
          <a:spAutoFit/>
        </a:bodyPr>
        <a:lstStyle/>
        <a:p>
          <a:pPr algn="ctr"/>
          <a:r>
            <a:rPr lang="en-US" sz="2000"/>
            <a:t>F_g</a:t>
          </a:r>
          <a:endParaRPr lang="en-US" sz="1100"/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34B2239-D334-3E48-B679-67B2AD0F421B}" name="tbl_model" displayName="tbl_model" ref="A12:D19" totalsRowShown="0" dataDxfId="5" headerRowBorderDxfId="6" tableBorderDxfId="4">
  <autoFilter ref="A12:D19" xr:uid="{A5C6DA23-2763-0A4C-AA83-0919EC2C5932}"/>
  <tableColumns count="4">
    <tableColumn id="1" xr3:uid="{FE8363B6-975F-8A40-8E3C-524E1034F8DE}" name="model" dataDxfId="3"/>
    <tableColumn id="4" xr3:uid="{436B2A22-36C1-4C22-90CC-F7EEEC34024C}" name="description" dataDxfId="2"/>
    <tableColumn id="2" xr3:uid="{574A9489-FFF5-E54C-A364-4EC7E3833B82}" name="value" dataDxfId="1"/>
    <tableColumn id="3" xr3:uid="{6406C33D-A79F-F046-B634-2CDE12E056A6}" name="% change" dataDxfId="0">
      <calculatedColumnFormula>($C13-parameters!$B3)/parameters!$B3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C8FCC-F197-B14A-9091-AF6178406B5F}">
  <sheetPr codeName="Sheet1"/>
  <dimension ref="A7:D21"/>
  <sheetViews>
    <sheetView showGridLines="0" tabSelected="1" workbookViewId="0">
      <selection activeCell="D9" sqref="D9"/>
    </sheetView>
  </sheetViews>
  <sheetFormatPr defaultColWidth="10.6640625" defaultRowHeight="15.5"/>
  <cols>
    <col min="1" max="1" width="12.83203125" bestFit="1" customWidth="1"/>
    <col min="2" max="2" width="52.75" bestFit="1" customWidth="1"/>
    <col min="3" max="3" width="12.33203125" bestFit="1" customWidth="1"/>
    <col min="4" max="4" width="17" bestFit="1" customWidth="1"/>
  </cols>
  <sheetData>
    <row r="7" spans="1:4" ht="21">
      <c r="A7" s="7" t="s">
        <v>8</v>
      </c>
      <c r="B7" s="7"/>
      <c r="C7" s="5"/>
      <c r="D7" s="2"/>
    </row>
    <row r="8" spans="1:4" ht="21">
      <c r="A8" s="1" t="s">
        <v>2</v>
      </c>
      <c r="B8" s="1" t="s">
        <v>29</v>
      </c>
      <c r="C8" s="1">
        <v>0.3</v>
      </c>
      <c r="D8" s="1"/>
    </row>
    <row r="9" spans="1:4" ht="24">
      <c r="A9" s="1" t="s">
        <v>13</v>
      </c>
      <c r="B9" s="1" t="s">
        <v>23</v>
      </c>
      <c r="C9" s="1">
        <v>0.8</v>
      </c>
      <c r="D9" s="1"/>
    </row>
    <row r="10" spans="1:4" ht="24">
      <c r="A10" s="6" t="s">
        <v>14</v>
      </c>
      <c r="B10" s="6" t="s">
        <v>24</v>
      </c>
      <c r="C10" s="6">
        <v>0.1</v>
      </c>
      <c r="D10" s="1"/>
    </row>
    <row r="11" spans="1:4" ht="21">
      <c r="A11" s="1"/>
      <c r="B11" s="1"/>
      <c r="C11" s="1"/>
      <c r="D11" s="1"/>
    </row>
    <row r="12" spans="1:4" ht="21">
      <c r="A12" s="8" t="s">
        <v>9</v>
      </c>
      <c r="B12" s="8" t="s">
        <v>22</v>
      </c>
      <c r="C12" s="9" t="s">
        <v>7</v>
      </c>
      <c r="D12" s="9" t="s">
        <v>12</v>
      </c>
    </row>
    <row r="13" spans="1:4" ht="24">
      <c r="A13" s="4" t="s">
        <v>15</v>
      </c>
      <c r="B13" s="4" t="s">
        <v>28</v>
      </c>
      <c r="C13" s="11">
        <f>parameters!$B$1*(1-C8)/4</f>
        <v>239.74999999999997</v>
      </c>
      <c r="D13" s="10">
        <f>($C13-parameters!$B3)/parameters!$B3</f>
        <v>0</v>
      </c>
    </row>
    <row r="14" spans="1:4" ht="24">
      <c r="A14" s="4" t="s">
        <v>16</v>
      </c>
      <c r="B14" s="4" t="s">
        <v>27</v>
      </c>
      <c r="C14" s="11">
        <f>C13*C9</f>
        <v>191.79999999999998</v>
      </c>
      <c r="D14" s="10">
        <f>($C14-parameters!$B4)/parameters!$B4</f>
        <v>0</v>
      </c>
    </row>
    <row r="15" spans="1:4" ht="24">
      <c r="A15" s="4" t="s">
        <v>17</v>
      </c>
      <c r="B15" s="4" t="s">
        <v>25</v>
      </c>
      <c r="C15" s="11">
        <f>$C$13*(1+$C$9)/(1+$C$10)</f>
        <v>392.31818181818176</v>
      </c>
      <c r="D15" s="10">
        <f>($C15-parameters!$B5)/parameters!$B5</f>
        <v>0</v>
      </c>
    </row>
    <row r="16" spans="1:4" ht="24">
      <c r="A16" s="4" t="s">
        <v>18</v>
      </c>
      <c r="B16" s="4" t="s">
        <v>26</v>
      </c>
      <c r="C16" s="11">
        <f>C15*C10</f>
        <v>39.231818181818177</v>
      </c>
      <c r="D16" s="10">
        <f>($C16-parameters!$B6)/parameters!$B6</f>
        <v>0</v>
      </c>
    </row>
    <row r="17" spans="1:4" ht="24">
      <c r="A17" s="4" t="s">
        <v>19</v>
      </c>
      <c r="B17" s="4" t="s">
        <v>31</v>
      </c>
      <c r="C17" s="11">
        <f>($C$13*(1-$C$9)+$C$15*(1-$C$10))/2</f>
        <v>200.5181818181818</v>
      </c>
      <c r="D17" s="10">
        <f>($C17-parameters!$B7)/parameters!$B7</f>
        <v>0</v>
      </c>
    </row>
    <row r="18" spans="1:4" ht="24">
      <c r="A18" s="4" t="s">
        <v>20</v>
      </c>
      <c r="B18" s="4"/>
      <c r="C18" s="11">
        <f>($C$13*(1-$C$9)+$C$15*(1-$C$10))/2</f>
        <v>200.5181818181818</v>
      </c>
      <c r="D18" s="10">
        <f>($C18-parameters!$B7)/parameters!$B7</f>
        <v>0</v>
      </c>
    </row>
    <row r="19" spans="1:4" ht="24">
      <c r="A19" s="4" t="s">
        <v>21</v>
      </c>
      <c r="B19" s="4" t="s">
        <v>30</v>
      </c>
      <c r="C19" s="11">
        <f>($C$15/parameters!$B$2)^0.25</f>
        <v>288.41234403153146</v>
      </c>
      <c r="D19" s="10">
        <f>($C19-parameters!$B8)/parameters!$B8</f>
        <v>0</v>
      </c>
    </row>
    <row r="21" spans="1:4" ht="16" customHeight="1">
      <c r="A21" s="12"/>
      <c r="B21" s="12"/>
    </row>
  </sheetData>
  <conditionalFormatting sqref="E17">
    <cfRule type="iconSet" priority="8">
      <iconSet iconSet="3Arrows">
        <cfvo type="percent" val="0"/>
        <cfvo type="percent" val="33"/>
        <cfvo type="percent" val="67"/>
      </iconSet>
    </cfRule>
  </conditionalFormatting>
  <conditionalFormatting sqref="D13:D19">
    <cfRule type="colorScale" priority="11">
      <colorScale>
        <cfvo type="num" val="-0.1"/>
        <cfvo type="num" val="0"/>
        <cfvo type="num" val="0.1"/>
        <color rgb="FF5A8AC6"/>
        <color theme="0"/>
        <color rgb="FFF9696A"/>
      </colorScale>
    </cfRule>
    <cfRule type="colorScale" priority="1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5D38D-7C9E-6E44-835F-9B4E967A1B32}">
  <sheetPr codeName="Sheet2"/>
  <dimension ref="A1:B13"/>
  <sheetViews>
    <sheetView workbookViewId="0">
      <selection activeCell="B14" sqref="B14"/>
    </sheetView>
  </sheetViews>
  <sheetFormatPr defaultColWidth="10.6640625" defaultRowHeight="15.5"/>
  <sheetData>
    <row r="1" spans="1:2">
      <c r="A1" t="s">
        <v>0</v>
      </c>
      <c r="B1">
        <v>1370</v>
      </c>
    </row>
    <row r="2" spans="1:2">
      <c r="A2" t="s">
        <v>6</v>
      </c>
      <c r="B2" s="3">
        <v>5.6699999999999998E-8</v>
      </c>
    </row>
    <row r="3" spans="1:2">
      <c r="A3" t="s">
        <v>1</v>
      </c>
      <c r="B3">
        <v>239.74999999999997</v>
      </c>
    </row>
    <row r="4" spans="1:2">
      <c r="A4" t="s">
        <v>10</v>
      </c>
      <c r="B4">
        <v>191.79999999999998</v>
      </c>
    </row>
    <row r="5" spans="1:2">
      <c r="A5" t="s">
        <v>3</v>
      </c>
      <c r="B5">
        <v>392.31818181818176</v>
      </c>
    </row>
    <row r="6" spans="1:2">
      <c r="A6" t="s">
        <v>11</v>
      </c>
      <c r="B6">
        <v>39.231818181818177</v>
      </c>
    </row>
    <row r="7" spans="1:2">
      <c r="A7" t="s">
        <v>4</v>
      </c>
      <c r="B7">
        <v>200.5181818181818</v>
      </c>
    </row>
    <row r="8" spans="1:2">
      <c r="A8" t="s">
        <v>5</v>
      </c>
      <c r="B8">
        <v>288.41234403153146</v>
      </c>
    </row>
    <row r="13" spans="1:2">
      <c r="A13" t="str">
        <f>" T = " &amp; TEXT('single layer model'!$C$19,"#.0") &amp; " K a" &amp; IF('single layer model'!$C$19&gt;$B$8,"n increase of "," decrease of ") &amp; TEXT(ABS('single layer model'!$C$19-$B$8),"#0.0") &amp; " K"</f>
        <v xml:space="preserve"> T = 288.4 K a decrease of 0.0 K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single layer model</vt:lpstr>
      <vt:lpstr>parameters</vt:lpstr>
      <vt:lpstr>change_Fadn</vt:lpstr>
      <vt:lpstr>change_Faup</vt:lpstr>
      <vt:lpstr>change_Fg</vt:lpstr>
      <vt:lpstr>change_Fgtg</vt:lpstr>
      <vt:lpstr>change_Fs</vt:lpstr>
      <vt:lpstr>change_Fsts</vt:lpstr>
      <vt:lpstr>change_Tg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Lee, Adrian Michael</dc:creator>
  <cp:lastModifiedBy>Jonathan Loh</cp:lastModifiedBy>
  <dcterms:created xsi:type="dcterms:W3CDTF">2021-11-06T08:00:50Z</dcterms:created>
  <dcterms:modified xsi:type="dcterms:W3CDTF">2024-03-07T04:45:39Z</dcterms:modified>
</cp:coreProperties>
</file>